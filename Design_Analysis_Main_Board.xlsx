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ton.sharepoint.com/sites/CCTVcameraEncoderdesign/Shared Documents/General/SoM Based Encoder/"/>
    </mc:Choice>
  </mc:AlternateContent>
  <xr:revisionPtr revIDLastSave="588" documentId="8_{12DF9326-4F20-4C8F-857D-0C6FA86F1E04}" xr6:coauthVersionLast="47" xr6:coauthVersionMax="47" xr10:uidLastSave="{52C83CFD-61E2-4FB4-93C7-AAC0958315AC}"/>
  <bookViews>
    <workbookView xWindow="-110" yWindow="-110" windowWidth="19420" windowHeight="10300" activeTab="4" xr2:uid="{C1EE4338-3CB9-41A0-A865-83EE3B8DEBD0}"/>
  </bookViews>
  <sheets>
    <sheet name="Ethernet" sheetId="1" r:id="rId1"/>
    <sheet name="CSI" sheetId="2" r:id="rId2"/>
    <sheet name="SD Card" sheetId="3" r:id="rId3"/>
    <sheet name="RS485" sheetId="4" r:id="rId4"/>
    <sheet name="Power" sheetId="5" r:id="rId5"/>
    <sheet name="Rails" sheetId="7" state="hidden" r:id="rId6"/>
    <sheet name="Power sequenc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C15" i="7"/>
  <c r="C13" i="7"/>
  <c r="C12" i="7"/>
  <c r="D11" i="7"/>
  <c r="D10" i="7"/>
  <c r="D8" i="7"/>
  <c r="C7" i="7"/>
  <c r="C6" i="7"/>
  <c r="D5" i="7"/>
  <c r="C4" i="7"/>
  <c r="C3" i="7"/>
  <c r="C8" i="5" l="1"/>
  <c r="C5" i="5"/>
  <c r="C7" i="5"/>
  <c r="C4" i="5"/>
  <c r="C3" i="5"/>
  <c r="C2" i="5"/>
</calcChain>
</file>

<file path=xl/sharedStrings.xml><?xml version="1.0" encoding="utf-8"?>
<sst xmlns="http://schemas.openxmlformats.org/spreadsheetml/2006/main" count="275" uniqueCount="181">
  <si>
    <t>Components Analysis</t>
  </si>
  <si>
    <t>S.No</t>
  </si>
  <si>
    <t>Description</t>
  </si>
  <si>
    <t>Ref des</t>
  </si>
  <si>
    <t>MPN</t>
  </si>
  <si>
    <t>Part Status</t>
  </si>
  <si>
    <t>EOL</t>
  </si>
  <si>
    <t>Operating Temp</t>
  </si>
  <si>
    <t>Stock</t>
  </si>
  <si>
    <t>X2</t>
  </si>
  <si>
    <t>JX3V-9015NL</t>
  </si>
  <si>
    <t>RJ45 connector</t>
  </si>
  <si>
    <t>Active</t>
  </si>
  <si>
    <t>ROHS</t>
  </si>
  <si>
    <t>Complaint</t>
  </si>
  <si>
    <t>Cost @ 10</t>
  </si>
  <si>
    <t>-40°C ~ 85°C</t>
  </si>
  <si>
    <t>Pin mapping verification</t>
  </si>
  <si>
    <t>SoM Pin No</t>
  </si>
  <si>
    <t>Signal</t>
  </si>
  <si>
    <t>IC Pin No</t>
  </si>
  <si>
    <t>ETH_1_MDI1_P</t>
  </si>
  <si>
    <t>ETH_1_MDI1_N</t>
  </si>
  <si>
    <t>ETH_1_MDI0_P</t>
  </si>
  <si>
    <t>ETH_1_MDI0_N</t>
  </si>
  <si>
    <t>ETH_1_MDI3_N</t>
  </si>
  <si>
    <t>ETH_1_MDI3_P</t>
  </si>
  <si>
    <t>ETH_1_MDI2_N</t>
  </si>
  <si>
    <t>ETH_1_MDI2_P</t>
  </si>
  <si>
    <t>ETH_1_LED_1</t>
  </si>
  <si>
    <t>ETH_1_LED_2</t>
  </si>
  <si>
    <t>P9</t>
  </si>
  <si>
    <t>P8</t>
  </si>
  <si>
    <t>P6</t>
  </si>
  <si>
    <t>P7</t>
  </si>
  <si>
    <t>P4</t>
  </si>
  <si>
    <t>P5</t>
  </si>
  <si>
    <t>P2</t>
  </si>
  <si>
    <t>P3</t>
  </si>
  <si>
    <t>P11</t>
  </si>
  <si>
    <t>P13</t>
  </si>
  <si>
    <t>+V3.3_SW</t>
  </si>
  <si>
    <t>P12</t>
  </si>
  <si>
    <t>P14</t>
  </si>
  <si>
    <t>P1</t>
  </si>
  <si>
    <t>GND</t>
  </si>
  <si>
    <t>P10</t>
  </si>
  <si>
    <t>NC</t>
  </si>
  <si>
    <t>TRUEN CONN PIN NUMBER</t>
  </si>
  <si>
    <t>4,7,9,13,16,19,22,25,28,31</t>
  </si>
  <si>
    <t>1,2,3</t>
  </si>
  <si>
    <t>5,6</t>
  </si>
  <si>
    <t>+V5_SW</t>
  </si>
  <si>
    <t>SEN_CLK</t>
  </si>
  <si>
    <t>SEN_RSTN</t>
  </si>
  <si>
    <t>SEN_HS</t>
  </si>
  <si>
    <t>SEN_VS</t>
  </si>
  <si>
    <t>SEN_I2C2_SCL</t>
  </si>
  <si>
    <t>SEN_I2C2_SDA</t>
  </si>
  <si>
    <t>MIPI0_CKP</t>
  </si>
  <si>
    <t>MIPI0_CKM</t>
  </si>
  <si>
    <t>MIPI0_D0P</t>
  </si>
  <si>
    <t>MIPI0_D0M</t>
  </si>
  <si>
    <t>MIPI0_D1P</t>
  </si>
  <si>
    <t>MIPI0_D1M</t>
  </si>
  <si>
    <t>MIPI0_D2P</t>
  </si>
  <si>
    <t>MIPI0_D2M</t>
  </si>
  <si>
    <t>MIPI0_D3P</t>
  </si>
  <si>
    <t>MIPI0_D3M</t>
  </si>
  <si>
    <t>SUB_ID0</t>
  </si>
  <si>
    <t>SUB_ID1</t>
  </si>
  <si>
    <t>SUB_ID2</t>
  </si>
  <si>
    <t>SUB_ID3</t>
  </si>
  <si>
    <t>SEN_RSV_GPIO</t>
  </si>
  <si>
    <t>SODIMM PIN NO</t>
  </si>
  <si>
    <t>SIGNAL NAME</t>
  </si>
  <si>
    <t>PWR</t>
  </si>
  <si>
    <t>Connected through circuit</t>
  </si>
  <si>
    <t>SD_1_D1</t>
  </si>
  <si>
    <t>SD_1_CMD</t>
  </si>
  <si>
    <t>SD_1_CLK</t>
  </si>
  <si>
    <t>SD_1_D0</t>
  </si>
  <si>
    <t>SD_1_D2</t>
  </si>
  <si>
    <t>SD_1_D3</t>
  </si>
  <si>
    <t>SD_1_CD#</t>
  </si>
  <si>
    <t>SD Card pin no</t>
  </si>
  <si>
    <t>Remarks</t>
  </si>
  <si>
    <t>SD_1_PWR_EN</t>
  </si>
  <si>
    <t>Connected to PWR circuit</t>
  </si>
  <si>
    <t>Set as output</t>
  </si>
  <si>
    <t>Set as inputs</t>
  </si>
  <si>
    <t>checked in datasheet</t>
  </si>
  <si>
    <t>F300-1B7H1-11020-E100</t>
  </si>
  <si>
    <t>X3</t>
  </si>
  <si>
    <t>Flex Connector</t>
  </si>
  <si>
    <t>-40℃~+105℃</t>
  </si>
  <si>
    <t>SD Card Connector</t>
  </si>
  <si>
    <t>Last time</t>
  </si>
  <si>
    <t>-25° to +85°C</t>
  </si>
  <si>
    <t>X7</t>
  </si>
  <si>
    <t>Connect as per comment in sch</t>
  </si>
  <si>
    <t>+V1.8_BOARD</t>
  </si>
  <si>
    <t>R32</t>
  </si>
  <si>
    <t>R16</t>
  </si>
  <si>
    <t>R17</t>
  </si>
  <si>
    <t>IC3 Icc</t>
  </si>
  <si>
    <t>IC2 Icc</t>
  </si>
  <si>
    <t>R73</t>
  </si>
  <si>
    <t>Current (Amps)</t>
  </si>
  <si>
    <t>R</t>
  </si>
  <si>
    <t>Total</t>
  </si>
  <si>
    <t>Internal PMIC is capable of 250mA as per datasheet</t>
  </si>
  <si>
    <t>DC DC +V5_SW</t>
  </si>
  <si>
    <t>IC5</t>
  </si>
  <si>
    <t>AOZ2261AQI-15</t>
  </si>
  <si>
    <t>Buck Convertor</t>
  </si>
  <si>
    <t>+V_PWR_IN</t>
  </si>
  <si>
    <t>+V_SUPPLY_FILT</t>
  </si>
  <si>
    <t>+V5_STB</t>
  </si>
  <si>
    <t>+V5</t>
  </si>
  <si>
    <t>CTRL_PWR_EN_MOCI</t>
  </si>
  <si>
    <t>VCC_BACKUP</t>
  </si>
  <si>
    <t>PWR_1V8_MOCI#</t>
  </si>
  <si>
    <t>Refer</t>
  </si>
  <si>
    <t>“Module OFF” to “Running” (startup after shutdown)</t>
  </si>
  <si>
    <t>https://docs.toradex.com/108140-verdin-carrier-board-design-guide.pdf</t>
  </si>
  <si>
    <t>RTC BACK-UP BATTERY</t>
  </si>
  <si>
    <t>Main supply</t>
  </si>
  <si>
    <t>Filtered from main</t>
  </si>
  <si>
    <t>STBY LDO from Filtered o/p</t>
  </si>
  <si>
    <t>Main VCC from buck</t>
  </si>
  <si>
    <t>Intenal LDO o/p</t>
  </si>
  <si>
    <t>Peripherals pwr enable</t>
  </si>
  <si>
    <t>Peripherals power</t>
  </si>
  <si>
    <t>7, 8, 9</t>
  </si>
  <si>
    <t>12,13, 14, 15, 19</t>
  </si>
  <si>
    <t>10, 11, 16, 17, 18</t>
  </si>
  <si>
    <t>Pin Number</t>
  </si>
  <si>
    <t>Pin Name</t>
  </si>
  <si>
    <t>PGOOD</t>
  </si>
  <si>
    <t>EN</t>
  </si>
  <si>
    <t>PFM</t>
  </si>
  <si>
    <t>AGND</t>
  </si>
  <si>
    <t>FB</t>
  </si>
  <si>
    <t>TON</t>
  </si>
  <si>
    <t>IN</t>
  </si>
  <si>
    <t>PGND</t>
  </si>
  <si>
    <t>LX</t>
  </si>
  <si>
    <t>BST</t>
  </si>
  <si>
    <t>VCC</t>
  </si>
  <si>
    <t>SS</t>
  </si>
  <si>
    <t>Tied to VCC, not connected for any monitoring</t>
  </si>
  <si>
    <t>Enable triggered as soon as +V5_STB is up. Tied with PWR_DISABLE from SoM pin to shut the system</t>
  </si>
  <si>
    <t>Tied to ground for PFM operation to improve light load efficiency (as per datasheet)</t>
  </si>
  <si>
    <t>Connected with main filtered supply 12V</t>
  </si>
  <si>
    <t>Connected with +V5_STB, 4.7uF decap added as per datasheet</t>
  </si>
  <si>
    <t>0.1uF connected to SW node as per datasheet</t>
  </si>
  <si>
    <t>Soft-start set to 3.3ms (Tss=330x 10nF)</t>
  </si>
  <si>
    <t>Il</t>
  </si>
  <si>
    <t>Sodimm vcc</t>
  </si>
  <si>
    <t>5V</t>
  </si>
  <si>
    <t>5V STB</t>
  </si>
  <si>
    <t>R35</t>
  </si>
  <si>
    <t>R34</t>
  </si>
  <si>
    <t>R52</t>
  </si>
  <si>
    <t>IC5 Iq</t>
  </si>
  <si>
    <t>IC6 Iq</t>
  </si>
  <si>
    <t>R217</t>
  </si>
  <si>
    <t>T9</t>
  </si>
  <si>
    <t>R45</t>
  </si>
  <si>
    <t>R53</t>
  </si>
  <si>
    <t>R1</t>
  </si>
  <si>
    <t>K1</t>
  </si>
  <si>
    <t>Refer Calculation sheet</t>
  </si>
  <si>
    <t>IC5, 6</t>
  </si>
  <si>
    <t>IC6</t>
  </si>
  <si>
    <t>Enabled by CTRL_PWR_EN_MOCI. It is a 1.8V signal,</t>
  </si>
  <si>
    <t>SP3078EEN-L/TR</t>
  </si>
  <si>
    <t>Rs485 transceiver</t>
  </si>
  <si>
    <t>Followed rear Card schematics</t>
  </si>
  <si>
    <t>Vfb=0.8V, Refer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</si>
</sst>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Latha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Latha"/>
      <family val="2"/>
      <scheme val="minor"/>
    </font>
    <font>
      <sz val="9"/>
      <color theme="1"/>
      <name val="Calibri"/>
      <family val="2"/>
    </font>
    <font>
      <u/>
      <sz val="11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3" fontId="1" fillId="0" borderId="1" xfId="0" applyNumberFormat="1" applyFont="1" applyBorder="1"/>
    <xf numFmtId="0" fontId="1" fillId="0" borderId="0" xfId="0" quotePrefix="1" applyFont="1"/>
    <xf numFmtId="0" fontId="1" fillId="5" borderId="1" xfId="0" applyFont="1" applyFill="1" applyBorder="1"/>
    <xf numFmtId="0" fontId="1" fillId="0" borderId="0" xfId="0" applyFont="1" applyAlignment="1">
      <alignment wrapText="1"/>
    </xf>
    <xf numFmtId="0" fontId="1" fillId="5" borderId="0" xfId="0" applyFont="1" applyFill="1"/>
    <xf numFmtId="0" fontId="5" fillId="0" borderId="0" xfId="0" applyFont="1"/>
    <xf numFmtId="0" fontId="1" fillId="6" borderId="0" xfId="0" quotePrefix="1" applyFont="1" applyFill="1"/>
    <xf numFmtId="0" fontId="6" fillId="0" borderId="0" xfId="1" applyFont="1"/>
    <xf numFmtId="0" fontId="1" fillId="7" borderId="0" xfId="0" quotePrefix="1" applyFont="1" applyFill="1"/>
    <xf numFmtId="0" fontId="1" fillId="8" borderId="0" xfId="0" quotePrefix="1" applyFont="1" applyFill="1"/>
    <xf numFmtId="0" fontId="1" fillId="9" borderId="0" xfId="0" quotePrefix="1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quotePrefix="1" applyFont="1" applyFill="1"/>
    <xf numFmtId="0" fontId="1" fillId="13" borderId="0" xfId="0" quotePrefix="1" applyFont="1" applyFill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196850</xdr:colOff>
      <xdr:row>6</xdr:row>
      <xdr:rowOff>63500</xdr:rowOff>
    </xdr:from>
    <xdr:to>
      <xdr:col>9</xdr:col>
      <xdr:colOff>273220</xdr:colOff>
      <xdr:row>19</xdr:row>
      <xdr:rowOff>19171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27664-2DE7-5A55-2948-D989A24C5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850" y="1168400"/>
          <a:ext cx="3302170" cy="2349621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355600</xdr:colOff>
      <xdr:row>18</xdr:row>
      <xdr:rowOff>31758</xdr:rowOff>
    </xdr:from>
    <xdr:to>
      <xdr:col>8</xdr:col>
      <xdr:colOff>215900</xdr:colOff>
      <xdr:row>28</xdr:row>
      <xdr:rowOff>139813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198AB5-CA9C-1CCE-7038-83B945C6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3346458"/>
          <a:ext cx="2711450" cy="1949555"/>
        </a:xfrm>
        <a:prstGeom prst="rect">
          <a:avLst/>
        </a:prstGeom>
      </xdr:spPr>
    </xdr:pic>
    <xdr:clientData/>
  </xdr:twoCellAnchor>
  <xdr:twoCellAnchor editAs="oneCell">
    <xdr:from>
      <xdr:col>9</xdr:col>
      <xdr:colOff>279400</xdr:colOff>
      <xdr:row>7</xdr:row>
      <xdr:rowOff>140294</xdr:rowOff>
    </xdr:from>
    <xdr:to>
      <xdr:col>14</xdr:col>
      <xdr:colOff>203200</xdr:colOff>
      <xdr:row>20</xdr:row>
      <xdr:rowOff>66065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E3842A-2F7C-065A-DCF8-72835A9B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7200" y="1429344"/>
          <a:ext cx="2997200" cy="2319721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9</xdr:row>
      <xdr:rowOff>88900</xdr:rowOff>
    </xdr:from>
    <xdr:to>
      <xdr:col>21</xdr:col>
      <xdr:colOff>530077</xdr:colOff>
      <xdr:row>26</xdr:row>
      <xdr:rowOff>120887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379809-3E31-2087-BA3D-ED3FD49DE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91700" y="1746250"/>
          <a:ext cx="4606777" cy="3162537"/>
        </a:xfrm>
        <a:prstGeom prst="rect">
          <a:avLst/>
        </a:prstGeom>
      </xdr:spPr>
    </xdr:pic>
    <xdr:clientData/>
  </xdr:twoCellAnchor>
  <xdr:twoCellAnchor editAs="oneCell">
    <xdr:from>
      <xdr:col>9</xdr:col>
      <xdr:colOff>412750</xdr:colOff>
      <xdr:row>20</xdr:row>
      <xdr:rowOff>63500</xdr:rowOff>
    </xdr:from>
    <xdr:to>
      <xdr:col>13</xdr:col>
      <xdr:colOff>579015</xdr:colOff>
      <xdr:row>27</xdr:row>
      <xdr:rowOff>44524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2B11FC-CED4-3A71-CB71-582B8029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0550" y="3746500"/>
          <a:ext cx="2630065" cy="1270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158751</xdr:colOff>
      <xdr:row>6</xdr:row>
      <xdr:rowOff>19051</xdr:rowOff>
    </xdr:from>
    <xdr:to>
      <xdr:col>10</xdr:col>
      <xdr:colOff>247651</xdr:colOff>
      <xdr:row>23</xdr:row>
      <xdr:rowOff>47511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94219D-9265-A227-B5DE-45A3CA77F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1" y="1123951"/>
          <a:ext cx="3130550" cy="3159010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5</xdr:row>
      <xdr:rowOff>158750</xdr:rowOff>
    </xdr:from>
    <xdr:to>
      <xdr:col>12</xdr:col>
      <xdr:colOff>400184</xdr:colOff>
      <xdr:row>22</xdr:row>
      <xdr:rowOff>158911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B2F78F-CDB5-41F6-4984-940D4ED90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3150" y="1079500"/>
          <a:ext cx="2609984" cy="3130711"/>
        </a:xfrm>
        <a:prstGeom prst="rect">
          <a:avLst/>
        </a:prstGeom>
      </xdr:spPr>
    </xdr:pic>
    <xdr:clientData/>
  </xdr:twoCellAnchor>
  <xdr:twoCellAnchor editAs="oneCell">
    <xdr:from>
      <xdr:col>5</xdr:col>
      <xdr:colOff>406400</xdr:colOff>
      <xdr:row>23</xdr:row>
      <xdr:rowOff>139700</xdr:rowOff>
    </xdr:from>
    <xdr:to>
      <xdr:col>18</xdr:col>
      <xdr:colOff>114696</xdr:colOff>
      <xdr:row>37</xdr:row>
      <xdr:rowOff>139833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F4D86-31CB-4BDC-EBCE-D94F637EB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9850" y="4375150"/>
          <a:ext cx="7696596" cy="2578233"/>
        </a:xfrm>
        <a:prstGeom prst="rect">
          <a:avLst/>
        </a:prstGeom>
      </xdr:spPr>
    </xdr:pic>
    <xdr:clientData/>
  </xdr:twoCellAnchor>
  <xdr:twoCellAnchor editAs="oneCell">
    <xdr:from>
      <xdr:col>4</xdr:col>
      <xdr:colOff>584200</xdr:colOff>
      <xdr:row>37</xdr:row>
      <xdr:rowOff>20637</xdr:rowOff>
    </xdr:from>
    <xdr:to>
      <xdr:col>15</xdr:col>
      <xdr:colOff>413123</xdr:colOff>
      <xdr:row>46</xdr:row>
      <xdr:rowOff>12793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BF5BC3-D4B3-8F14-C7BD-6C3C44B3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97650" y="6834187"/>
          <a:ext cx="6598023" cy="1649506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33</xdr:row>
      <xdr:rowOff>57151</xdr:rowOff>
    </xdr:from>
    <xdr:to>
      <xdr:col>4</xdr:col>
      <xdr:colOff>431800</xdr:colOff>
      <xdr:row>40</xdr:row>
      <xdr:rowOff>67943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05C44D-504B-C886-77B2-397482AD6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" y="6134101"/>
          <a:ext cx="6362700" cy="12998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44450</xdr:colOff>
      <xdr:row>6</xdr:row>
      <xdr:rowOff>19050</xdr:rowOff>
    </xdr:from>
    <xdr:to>
      <xdr:col>8</xdr:col>
      <xdr:colOff>342401</xdr:colOff>
      <xdr:row>17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99CDB-36A7-373E-1E56-21DC82BC3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1650" y="1657350"/>
          <a:ext cx="2958601" cy="2076450"/>
        </a:xfrm>
        <a:prstGeom prst="rect">
          <a:avLst/>
        </a:prstGeom>
      </xdr:spPr>
    </xdr:pic>
    <xdr:clientData/>
  </xdr:twoCellAnchor>
  <xdr:twoCellAnchor editAs="oneCell">
    <xdr:from>
      <xdr:col>9</xdr:col>
      <xdr:colOff>292100</xdr:colOff>
      <xdr:row>5</xdr:row>
      <xdr:rowOff>140840</xdr:rowOff>
    </xdr:from>
    <xdr:to>
      <xdr:col>17</xdr:col>
      <xdr:colOff>292431</xdr:colOff>
      <xdr:row>17</xdr:row>
      <xdr:rowOff>76344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5BBB8B-B562-9EE7-56C7-91710141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1506090"/>
          <a:ext cx="4921581" cy="2145304"/>
        </a:xfrm>
        <a:prstGeom prst="rect">
          <a:avLst/>
        </a:prstGeom>
      </xdr:spPr>
    </xdr:pic>
    <xdr:clientData/>
  </xdr:twoCellAnchor>
  <xdr:twoCellAnchor editAs="oneCell">
    <xdr:from>
      <xdr:col>6</xdr:col>
      <xdr:colOff>425450</xdr:colOff>
      <xdr:row>13</xdr:row>
      <xdr:rowOff>107950</xdr:rowOff>
    </xdr:from>
    <xdr:to>
      <xdr:col>9</xdr:col>
      <xdr:colOff>298651</xdr:colOff>
      <xdr:row>23</xdr:row>
      <xdr:rowOff>31931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87CFAA-8EA5-E06A-092D-54B0CCB3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51500" y="3657600"/>
          <a:ext cx="1956001" cy="1765481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6</xdr:row>
      <xdr:rowOff>0</xdr:rowOff>
    </xdr:from>
    <xdr:to>
      <xdr:col>10</xdr:col>
      <xdr:colOff>228799</xdr:colOff>
      <xdr:row>18</xdr:row>
      <xdr:rowOff>82668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A309D1-BE92-9404-4E4B-D2C9988F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500" y="1104900"/>
          <a:ext cx="3867349" cy="22924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6</xdr:col>
      <xdr:colOff>749502</xdr:colOff>
      <xdr:row>19</xdr:row>
      <xdr:rowOff>19183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DC309-02E2-A40F-6576-3BE5DA63C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450" y="1365250"/>
          <a:ext cx="3930852" cy="25972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120650</xdr:colOff>
      <xdr:row>0</xdr:row>
      <xdr:rowOff>0</xdr:rowOff>
    </xdr:from>
    <xdr:to>
      <xdr:col>8</xdr:col>
      <xdr:colOff>540033</xdr:colOff>
      <xdr:row>7</xdr:row>
      <xdr:rowOff>12767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10AC41-233F-7805-9D68-7B6E6194B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0200" y="0"/>
          <a:ext cx="5512083" cy="1301817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27</xdr:row>
      <xdr:rowOff>317500</xdr:rowOff>
    </xdr:from>
    <xdr:to>
      <xdr:col>6</xdr:col>
      <xdr:colOff>609689</xdr:colOff>
      <xdr:row>29</xdr:row>
      <xdr:rowOff>25423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CC1526-5A61-1357-FC69-FE92C4CF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7550" y="6762750"/>
          <a:ext cx="1733639" cy="444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toradex.com/108140-verdin-carrier-board-design-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358E-6ED0-42CA-A3F3-DA08987FB7E2}">
  <sheetPr>
    <tabColor rgb="FF92D050"/>
  </sheetPr>
  <dimension ref="A1:J21"/>
  <sheetViews>
    <sheetView workbookViewId="0">
      <selection activeCell="J3" sqref="J3"/>
    </sheetView>
  </sheetViews>
  <sheetFormatPr defaultRowHeight="14.5" x14ac:dyDescent="0.35"/>
  <cols>
    <col min="1" max="1" width="4.81640625" style="1" bestFit="1" customWidth="1"/>
    <col min="2" max="2" width="11.81640625" style="1" bestFit="1" customWidth="1"/>
    <col min="3" max="3" width="16.36328125" style="1" bestFit="1" customWidth="1"/>
    <col min="4" max="4" width="14.26953125" style="1" bestFit="1" customWidth="1"/>
    <col min="5" max="5" width="10.54296875" style="1" bestFit="1" customWidth="1"/>
    <col min="6" max="6" width="4.81640625" style="1" bestFit="1" customWidth="1"/>
    <col min="7" max="7" width="14.7265625" style="1" bestFit="1" customWidth="1"/>
    <col min="8" max="8" width="10.7265625" style="1" bestFit="1" customWidth="1"/>
    <col min="9" max="9" width="5.36328125" style="1" bestFit="1" customWidth="1"/>
    <col min="10" max="10" width="9.08984375" style="1" bestFit="1" customWidth="1"/>
    <col min="11" max="16384" width="8.7265625" style="1"/>
  </cols>
  <sheetData>
    <row r="1" spans="1:10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6" t="s">
        <v>1</v>
      </c>
      <c r="B2" s="6" t="s">
        <v>3</v>
      </c>
      <c r="C2" s="6" t="s">
        <v>4</v>
      </c>
      <c r="D2" s="6" t="s">
        <v>2</v>
      </c>
      <c r="E2" s="6" t="s">
        <v>5</v>
      </c>
      <c r="F2" s="6" t="s">
        <v>6</v>
      </c>
      <c r="G2" s="6" t="s">
        <v>7</v>
      </c>
      <c r="H2" s="6" t="s">
        <v>15</v>
      </c>
      <c r="I2" s="6" t="s">
        <v>8</v>
      </c>
      <c r="J2" s="6" t="s">
        <v>13</v>
      </c>
    </row>
    <row r="3" spans="1:10" x14ac:dyDescent="0.3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2037</v>
      </c>
      <c r="G3" s="3" t="s">
        <v>16</v>
      </c>
      <c r="H3" s="2">
        <v>7.8339999999999996</v>
      </c>
      <c r="I3" s="2">
        <v>231</v>
      </c>
      <c r="J3" s="2" t="s">
        <v>14</v>
      </c>
    </row>
    <row r="6" spans="1:10" x14ac:dyDescent="0.3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x14ac:dyDescent="0.35">
      <c r="A7" s="7" t="s">
        <v>1</v>
      </c>
      <c r="B7" s="7" t="s">
        <v>18</v>
      </c>
      <c r="C7" s="7" t="s">
        <v>19</v>
      </c>
      <c r="D7" s="7" t="s">
        <v>20</v>
      </c>
    </row>
    <row r="8" spans="1:10" x14ac:dyDescent="0.35">
      <c r="A8" s="4">
        <v>1</v>
      </c>
      <c r="B8" s="4">
        <v>235</v>
      </c>
      <c r="C8" s="4" t="s">
        <v>29</v>
      </c>
      <c r="D8" s="4" t="s">
        <v>42</v>
      </c>
    </row>
    <row r="9" spans="1:10" x14ac:dyDescent="0.35">
      <c r="A9" s="4">
        <v>2</v>
      </c>
      <c r="B9" s="4">
        <v>237</v>
      </c>
      <c r="C9" s="4" t="s">
        <v>30</v>
      </c>
      <c r="D9" s="4" t="s">
        <v>43</v>
      </c>
    </row>
    <row r="10" spans="1:10" x14ac:dyDescent="0.35">
      <c r="A10" s="4">
        <v>3</v>
      </c>
      <c r="B10" s="4">
        <v>227</v>
      </c>
      <c r="C10" s="4" t="s">
        <v>24</v>
      </c>
      <c r="D10" s="4" t="s">
        <v>32</v>
      </c>
    </row>
    <row r="11" spans="1:10" x14ac:dyDescent="0.35">
      <c r="A11" s="4">
        <v>4</v>
      </c>
      <c r="B11" s="4">
        <v>225</v>
      </c>
      <c r="C11" s="4" t="s">
        <v>23</v>
      </c>
      <c r="D11" s="4" t="s">
        <v>31</v>
      </c>
    </row>
    <row r="12" spans="1:10" x14ac:dyDescent="0.35">
      <c r="A12" s="4">
        <v>5</v>
      </c>
      <c r="B12" s="4">
        <v>231</v>
      </c>
      <c r="C12" s="4" t="s">
        <v>22</v>
      </c>
      <c r="D12" s="4" t="s">
        <v>33</v>
      </c>
    </row>
    <row r="13" spans="1:10" x14ac:dyDescent="0.35">
      <c r="A13" s="4">
        <v>6</v>
      </c>
      <c r="B13" s="4">
        <v>233</v>
      </c>
      <c r="C13" s="4" t="s">
        <v>21</v>
      </c>
      <c r="D13" s="4" t="s">
        <v>34</v>
      </c>
    </row>
    <row r="14" spans="1:10" x14ac:dyDescent="0.35">
      <c r="A14" s="4">
        <v>7</v>
      </c>
      <c r="B14" s="4">
        <v>241</v>
      </c>
      <c r="C14" s="4" t="s">
        <v>27</v>
      </c>
      <c r="D14" s="4" t="s">
        <v>35</v>
      </c>
    </row>
    <row r="15" spans="1:10" x14ac:dyDescent="0.35">
      <c r="A15" s="4">
        <v>8</v>
      </c>
      <c r="B15" s="4">
        <v>239</v>
      </c>
      <c r="C15" s="4" t="s">
        <v>28</v>
      </c>
      <c r="D15" s="4" t="s">
        <v>36</v>
      </c>
    </row>
    <row r="16" spans="1:10" x14ac:dyDescent="0.35">
      <c r="A16" s="4">
        <v>9</v>
      </c>
      <c r="B16" s="4">
        <v>245</v>
      </c>
      <c r="C16" s="4" t="s">
        <v>25</v>
      </c>
      <c r="D16" s="4" t="s">
        <v>37</v>
      </c>
    </row>
    <row r="17" spans="1:4" x14ac:dyDescent="0.35">
      <c r="A17" s="4">
        <v>10</v>
      </c>
      <c r="B17" s="4">
        <v>247</v>
      </c>
      <c r="C17" s="4" t="s">
        <v>26</v>
      </c>
      <c r="D17" s="4" t="s">
        <v>38</v>
      </c>
    </row>
    <row r="18" spans="1:4" x14ac:dyDescent="0.35">
      <c r="A18" s="4">
        <v>11</v>
      </c>
      <c r="B18" s="4"/>
      <c r="C18" s="5" t="s">
        <v>41</v>
      </c>
      <c r="D18" s="4" t="s">
        <v>39</v>
      </c>
    </row>
    <row r="19" spans="1:4" x14ac:dyDescent="0.35">
      <c r="A19" s="4">
        <v>12</v>
      </c>
      <c r="B19" s="4"/>
      <c r="C19" s="5" t="s">
        <v>41</v>
      </c>
      <c r="D19" s="4" t="s">
        <v>40</v>
      </c>
    </row>
    <row r="20" spans="1:4" x14ac:dyDescent="0.35">
      <c r="A20" s="4">
        <v>13</v>
      </c>
      <c r="B20" s="4"/>
      <c r="C20" s="5" t="s">
        <v>45</v>
      </c>
      <c r="D20" s="4" t="s">
        <v>44</v>
      </c>
    </row>
    <row r="21" spans="1:4" x14ac:dyDescent="0.35">
      <c r="A21" s="4">
        <v>14</v>
      </c>
      <c r="B21" s="4"/>
      <c r="C21" s="5" t="s">
        <v>47</v>
      </c>
      <c r="D21" s="4" t="s">
        <v>46</v>
      </c>
    </row>
  </sheetData>
  <mergeCells count="2">
    <mergeCell ref="A1:J1"/>
    <mergeCell ref="A6:J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DCC1-8F1B-45EA-862C-2CD72F9493D1}">
  <sheetPr>
    <tabColor rgb="FF92D050"/>
  </sheetPr>
  <dimension ref="A1:J31"/>
  <sheetViews>
    <sheetView topLeftCell="A4" workbookViewId="0">
      <selection activeCell="D43" sqref="D43"/>
    </sheetView>
  </sheetViews>
  <sheetFormatPr defaultRowHeight="14.5" x14ac:dyDescent="0.35"/>
  <cols>
    <col min="1" max="1" width="19.81640625" style="1" bestFit="1" customWidth="1"/>
    <col min="2" max="2" width="23.453125" style="1" bestFit="1" customWidth="1"/>
    <col min="3" max="3" width="20.26953125" style="1" bestFit="1" customWidth="1"/>
    <col min="4" max="4" width="22.54296875" style="1" bestFit="1" customWidth="1"/>
    <col min="5" max="5" width="9.7265625" style="1" bestFit="1" customWidth="1"/>
    <col min="6" max="6" width="4.81640625" style="1" bestFit="1" customWidth="1"/>
    <col min="7" max="7" width="14.36328125" style="1" bestFit="1" customWidth="1"/>
    <col min="8" max="8" width="9.1796875" style="1" bestFit="1" customWidth="1"/>
    <col min="9" max="9" width="5.81640625" style="1" bestFit="1" customWidth="1"/>
    <col min="10" max="10" width="9.36328125" style="1" bestFit="1" customWidth="1"/>
    <col min="11" max="16384" width="8.7265625" style="1"/>
  </cols>
  <sheetData>
    <row r="1" spans="1:10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6" t="s">
        <v>1</v>
      </c>
      <c r="B2" s="6" t="s">
        <v>3</v>
      </c>
      <c r="C2" s="6" t="s">
        <v>4</v>
      </c>
      <c r="D2" s="6" t="s">
        <v>2</v>
      </c>
      <c r="E2" s="6" t="s">
        <v>5</v>
      </c>
      <c r="F2" s="6" t="s">
        <v>6</v>
      </c>
      <c r="G2" s="6" t="s">
        <v>7</v>
      </c>
      <c r="H2" s="6" t="s">
        <v>15</v>
      </c>
      <c r="I2" s="6" t="s">
        <v>8</v>
      </c>
      <c r="J2" s="6" t="s">
        <v>13</v>
      </c>
    </row>
    <row r="3" spans="1:10" x14ac:dyDescent="0.35">
      <c r="A3" s="2">
        <v>1</v>
      </c>
      <c r="B3" s="2" t="s">
        <v>93</v>
      </c>
      <c r="C3" s="2" t="s">
        <v>92</v>
      </c>
      <c r="D3" s="2" t="s">
        <v>94</v>
      </c>
      <c r="E3" s="2" t="s">
        <v>12</v>
      </c>
      <c r="F3" s="2"/>
      <c r="G3" s="3" t="s">
        <v>95</v>
      </c>
      <c r="H3" s="2">
        <v>0.56000000000000005</v>
      </c>
      <c r="I3" s="2">
        <v>13217</v>
      </c>
      <c r="J3" s="2" t="s">
        <v>14</v>
      </c>
    </row>
    <row r="6" spans="1:10" x14ac:dyDescent="0.3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x14ac:dyDescent="0.35">
      <c r="A7" s="8" t="s">
        <v>75</v>
      </c>
      <c r="B7" s="9" t="s">
        <v>48</v>
      </c>
      <c r="C7" s="9" t="s">
        <v>74</v>
      </c>
      <c r="D7" s="9"/>
      <c r="E7" s="9" t="s">
        <v>86</v>
      </c>
    </row>
    <row r="8" spans="1:10" x14ac:dyDescent="0.35">
      <c r="A8" s="10" t="s">
        <v>45</v>
      </c>
      <c r="B8" s="11" t="s">
        <v>49</v>
      </c>
      <c r="C8" s="11" t="s">
        <v>76</v>
      </c>
      <c r="D8" s="11"/>
      <c r="E8" s="2"/>
    </row>
    <row r="9" spans="1:10" x14ac:dyDescent="0.35">
      <c r="A9" s="12" t="s">
        <v>41</v>
      </c>
      <c r="B9" s="11" t="s">
        <v>50</v>
      </c>
      <c r="C9" s="11" t="s">
        <v>76</v>
      </c>
      <c r="D9" s="11"/>
      <c r="E9" s="3"/>
    </row>
    <row r="10" spans="1:10" x14ac:dyDescent="0.35">
      <c r="A10" s="12" t="s">
        <v>52</v>
      </c>
      <c r="B10" s="11" t="s">
        <v>51</v>
      </c>
      <c r="C10" s="11" t="s">
        <v>76</v>
      </c>
      <c r="D10" s="11"/>
      <c r="E10" s="3"/>
    </row>
    <row r="11" spans="1:10" x14ac:dyDescent="0.35">
      <c r="A11" s="2" t="s">
        <v>53</v>
      </c>
      <c r="B11" s="11">
        <v>8</v>
      </c>
      <c r="C11" s="11">
        <v>91</v>
      </c>
      <c r="D11" s="11"/>
      <c r="E11" s="2" t="s">
        <v>91</v>
      </c>
    </row>
    <row r="12" spans="1:10" x14ac:dyDescent="0.35">
      <c r="A12" s="2" t="s">
        <v>54</v>
      </c>
      <c r="B12" s="11">
        <v>10</v>
      </c>
      <c r="C12" s="11">
        <v>216</v>
      </c>
      <c r="D12" s="11"/>
      <c r="E12" s="2" t="s">
        <v>77</v>
      </c>
    </row>
    <row r="13" spans="1:10" x14ac:dyDescent="0.35">
      <c r="A13" s="13" t="s">
        <v>55</v>
      </c>
      <c r="B13" s="14">
        <v>11</v>
      </c>
      <c r="C13" s="14">
        <v>206</v>
      </c>
      <c r="D13" s="14"/>
      <c r="E13" s="15" t="s">
        <v>90</v>
      </c>
    </row>
    <row r="14" spans="1:10" x14ac:dyDescent="0.35">
      <c r="A14" s="13" t="s">
        <v>56</v>
      </c>
      <c r="B14" s="14">
        <v>12</v>
      </c>
      <c r="C14" s="14">
        <v>208</v>
      </c>
      <c r="D14" s="14"/>
      <c r="E14" s="15" t="s">
        <v>90</v>
      </c>
    </row>
    <row r="15" spans="1:10" x14ac:dyDescent="0.35">
      <c r="A15" s="2" t="s">
        <v>57</v>
      </c>
      <c r="B15" s="11">
        <v>14</v>
      </c>
      <c r="C15" s="11">
        <v>95</v>
      </c>
      <c r="D15" s="11"/>
      <c r="E15" s="2" t="s">
        <v>77</v>
      </c>
    </row>
    <row r="16" spans="1:10" x14ac:dyDescent="0.35">
      <c r="A16" s="2" t="s">
        <v>58</v>
      </c>
      <c r="B16" s="11">
        <v>15</v>
      </c>
      <c r="C16" s="11">
        <v>93</v>
      </c>
      <c r="D16" s="11"/>
      <c r="E16" s="2" t="s">
        <v>77</v>
      </c>
    </row>
    <row r="17" spans="1:5" x14ac:dyDescent="0.35">
      <c r="A17" s="2" t="s">
        <v>59</v>
      </c>
      <c r="B17" s="11">
        <v>17</v>
      </c>
      <c r="C17" s="11">
        <v>111</v>
      </c>
      <c r="D17" s="11"/>
      <c r="E17" s="2"/>
    </row>
    <row r="18" spans="1:5" x14ac:dyDescent="0.35">
      <c r="A18" s="2" t="s">
        <v>60</v>
      </c>
      <c r="B18" s="11">
        <v>18</v>
      </c>
      <c r="C18" s="11">
        <v>113</v>
      </c>
      <c r="D18" s="11"/>
      <c r="E18" s="2"/>
    </row>
    <row r="19" spans="1:5" x14ac:dyDescent="0.35">
      <c r="A19" s="2" t="s">
        <v>61</v>
      </c>
      <c r="B19" s="11">
        <v>20</v>
      </c>
      <c r="C19" s="11">
        <v>123</v>
      </c>
      <c r="D19" s="11"/>
      <c r="E19" s="2"/>
    </row>
    <row r="20" spans="1:5" x14ac:dyDescent="0.35">
      <c r="A20" s="2" t="s">
        <v>62</v>
      </c>
      <c r="B20" s="11">
        <v>21</v>
      </c>
      <c r="C20" s="11">
        <v>125</v>
      </c>
      <c r="D20" s="11"/>
      <c r="E20" s="2"/>
    </row>
    <row r="21" spans="1:5" x14ac:dyDescent="0.35">
      <c r="A21" s="2" t="s">
        <v>63</v>
      </c>
      <c r="B21" s="11">
        <v>23</v>
      </c>
      <c r="C21" s="11">
        <v>117</v>
      </c>
      <c r="D21" s="11"/>
      <c r="E21" s="2"/>
    </row>
    <row r="22" spans="1:5" x14ac:dyDescent="0.35">
      <c r="A22" s="2" t="s">
        <v>64</v>
      </c>
      <c r="B22" s="11">
        <v>24</v>
      </c>
      <c r="C22" s="11">
        <v>119</v>
      </c>
      <c r="D22" s="11"/>
      <c r="E22" s="2"/>
    </row>
    <row r="23" spans="1:5" x14ac:dyDescent="0.35">
      <c r="A23" s="2" t="s">
        <v>65</v>
      </c>
      <c r="B23" s="11">
        <v>26</v>
      </c>
      <c r="C23" s="11">
        <v>105</v>
      </c>
      <c r="D23" s="11"/>
      <c r="E23" s="2"/>
    </row>
    <row r="24" spans="1:5" x14ac:dyDescent="0.35">
      <c r="A24" s="2" t="s">
        <v>66</v>
      </c>
      <c r="B24" s="11">
        <v>27</v>
      </c>
      <c r="C24" s="11">
        <v>107</v>
      </c>
      <c r="D24" s="11"/>
      <c r="E24" s="2"/>
    </row>
    <row r="25" spans="1:5" x14ac:dyDescent="0.35">
      <c r="A25" s="10" t="s">
        <v>67</v>
      </c>
      <c r="B25" s="11">
        <v>29</v>
      </c>
      <c r="C25" s="11">
        <v>99</v>
      </c>
      <c r="D25" s="11"/>
      <c r="E25" s="10"/>
    </row>
    <row r="26" spans="1:5" x14ac:dyDescent="0.35">
      <c r="A26" s="10" t="s">
        <v>68</v>
      </c>
      <c r="B26" s="11">
        <v>30</v>
      </c>
      <c r="C26" s="11">
        <v>101</v>
      </c>
      <c r="D26" s="11"/>
      <c r="E26" s="10"/>
    </row>
    <row r="27" spans="1:5" x14ac:dyDescent="0.35">
      <c r="A27" s="15" t="s">
        <v>69</v>
      </c>
      <c r="B27" s="14">
        <v>32</v>
      </c>
      <c r="C27" s="14">
        <v>218</v>
      </c>
      <c r="D27" s="14" t="s">
        <v>100</v>
      </c>
      <c r="E27" s="15" t="s">
        <v>90</v>
      </c>
    </row>
    <row r="28" spans="1:5" x14ac:dyDescent="0.35">
      <c r="A28" s="13" t="s">
        <v>70</v>
      </c>
      <c r="B28" s="14">
        <v>33</v>
      </c>
      <c r="C28" s="14">
        <v>220</v>
      </c>
      <c r="D28" s="14" t="s">
        <v>100</v>
      </c>
      <c r="E28" s="15" t="s">
        <v>90</v>
      </c>
    </row>
    <row r="29" spans="1:5" x14ac:dyDescent="0.35">
      <c r="A29" s="13" t="s">
        <v>71</v>
      </c>
      <c r="B29" s="14">
        <v>34</v>
      </c>
      <c r="C29" s="14">
        <v>222</v>
      </c>
      <c r="D29" s="14" t="s">
        <v>100</v>
      </c>
      <c r="E29" s="15" t="s">
        <v>90</v>
      </c>
    </row>
    <row r="30" spans="1:5" x14ac:dyDescent="0.35">
      <c r="A30" s="13" t="s">
        <v>72</v>
      </c>
      <c r="B30" s="14">
        <v>35</v>
      </c>
      <c r="C30" s="14">
        <v>210</v>
      </c>
      <c r="D30" s="14"/>
      <c r="E30" s="15" t="s">
        <v>90</v>
      </c>
    </row>
    <row r="31" spans="1:5" x14ac:dyDescent="0.35">
      <c r="A31" s="13" t="s">
        <v>73</v>
      </c>
      <c r="B31" s="14">
        <v>36</v>
      </c>
      <c r="C31" s="14">
        <v>212</v>
      </c>
      <c r="D31" s="14"/>
      <c r="E31" s="13" t="s">
        <v>89</v>
      </c>
    </row>
  </sheetData>
  <mergeCells count="2">
    <mergeCell ref="A1:J1"/>
    <mergeCell ref="A6:J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4F3F-AA87-4617-8400-B7F4E21DE478}">
  <sheetPr>
    <tabColor theme="9"/>
  </sheetPr>
  <dimension ref="A1:J17"/>
  <sheetViews>
    <sheetView workbookViewId="0">
      <selection activeCell="C11" sqref="C11"/>
    </sheetView>
  </sheetViews>
  <sheetFormatPr defaultRowHeight="14.5" x14ac:dyDescent="0.35"/>
  <cols>
    <col min="1" max="1" width="13.26953125" style="1" bestFit="1" customWidth="1"/>
    <col min="2" max="2" width="22" style="1" bestFit="1" customWidth="1"/>
    <col min="3" max="3" width="14.90625" style="1" bestFit="1" customWidth="1"/>
    <col min="4" max="4" width="16.54296875" style="1" bestFit="1" customWidth="1"/>
    <col min="5" max="5" width="9.7265625" style="1" bestFit="1" customWidth="1"/>
    <col min="6" max="6" width="4.81640625" style="1" bestFit="1" customWidth="1"/>
    <col min="7" max="7" width="14.36328125" style="1" bestFit="1" customWidth="1"/>
    <col min="8" max="8" width="9.1796875" style="1" bestFit="1" customWidth="1"/>
    <col min="9" max="9" width="6.26953125" style="1" bestFit="1" customWidth="1"/>
    <col min="10" max="10" width="9.36328125" style="1" bestFit="1" customWidth="1"/>
    <col min="11" max="16384" width="8.7265625" style="1"/>
  </cols>
  <sheetData>
    <row r="1" spans="1:10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6" t="s">
        <v>1</v>
      </c>
      <c r="B2" s="6" t="s">
        <v>3</v>
      </c>
      <c r="C2" s="6" t="s">
        <v>4</v>
      </c>
      <c r="D2" s="6" t="s">
        <v>2</v>
      </c>
      <c r="E2" s="6" t="s">
        <v>5</v>
      </c>
      <c r="F2" s="6" t="s">
        <v>6</v>
      </c>
      <c r="G2" s="6" t="s">
        <v>7</v>
      </c>
      <c r="H2" s="6" t="s">
        <v>15</v>
      </c>
      <c r="I2" s="6" t="s">
        <v>8</v>
      </c>
      <c r="J2" s="6" t="s">
        <v>13</v>
      </c>
    </row>
    <row r="3" spans="1:10" x14ac:dyDescent="0.35">
      <c r="A3" s="2">
        <v>1</v>
      </c>
      <c r="B3" s="2" t="s">
        <v>99</v>
      </c>
      <c r="C3" s="2">
        <v>5027740891</v>
      </c>
      <c r="D3" s="2" t="s">
        <v>96</v>
      </c>
      <c r="E3" s="2" t="s">
        <v>97</v>
      </c>
      <c r="F3" s="2">
        <v>2025</v>
      </c>
      <c r="G3" s="3" t="s">
        <v>98</v>
      </c>
      <c r="H3" s="2">
        <v>3.95</v>
      </c>
      <c r="I3" s="17">
        <v>13352</v>
      </c>
      <c r="J3" s="2" t="s">
        <v>14</v>
      </c>
    </row>
    <row r="6" spans="1:10" x14ac:dyDescent="0.3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</row>
    <row r="7" spans="1:10" x14ac:dyDescent="0.35">
      <c r="A7" s="8" t="s">
        <v>75</v>
      </c>
      <c r="B7" s="9" t="s">
        <v>85</v>
      </c>
      <c r="C7" s="9" t="s">
        <v>74</v>
      </c>
      <c r="D7" s="9" t="s">
        <v>86</v>
      </c>
    </row>
    <row r="8" spans="1:10" x14ac:dyDescent="0.35">
      <c r="A8" s="10" t="s">
        <v>78</v>
      </c>
      <c r="B8" s="16">
        <v>8</v>
      </c>
      <c r="C8" s="16">
        <v>82</v>
      </c>
      <c r="D8" s="2"/>
    </row>
    <row r="9" spans="1:10" x14ac:dyDescent="0.35">
      <c r="A9" s="10" t="s">
        <v>81</v>
      </c>
      <c r="B9" s="16">
        <v>7</v>
      </c>
      <c r="C9" s="16">
        <v>80</v>
      </c>
      <c r="D9" s="2"/>
    </row>
    <row r="10" spans="1:10" x14ac:dyDescent="0.35">
      <c r="A10" s="10" t="s">
        <v>80</v>
      </c>
      <c r="B10" s="16">
        <v>5</v>
      </c>
      <c r="C10" s="16">
        <v>78</v>
      </c>
      <c r="D10" s="2"/>
    </row>
    <row r="11" spans="1:10" x14ac:dyDescent="0.35">
      <c r="A11" s="10" t="s">
        <v>79</v>
      </c>
      <c r="B11" s="16">
        <v>3</v>
      </c>
      <c r="C11" s="16">
        <v>74</v>
      </c>
      <c r="D11" s="2"/>
    </row>
    <row r="12" spans="1:10" x14ac:dyDescent="0.35">
      <c r="A12" s="10" t="s">
        <v>83</v>
      </c>
      <c r="B12" s="16">
        <v>2</v>
      </c>
      <c r="C12" s="16">
        <v>72</v>
      </c>
      <c r="D12" s="2"/>
    </row>
    <row r="13" spans="1:10" x14ac:dyDescent="0.35">
      <c r="A13" s="10" t="s">
        <v>82</v>
      </c>
      <c r="B13" s="16">
        <v>1</v>
      </c>
      <c r="C13" s="16">
        <v>70</v>
      </c>
      <c r="D13" s="2"/>
    </row>
    <row r="14" spans="1:10" x14ac:dyDescent="0.35">
      <c r="A14" s="10" t="s">
        <v>84</v>
      </c>
      <c r="B14" s="16">
        <v>9</v>
      </c>
      <c r="C14" s="16">
        <v>84</v>
      </c>
      <c r="D14" s="2"/>
    </row>
    <row r="15" spans="1:10" x14ac:dyDescent="0.35">
      <c r="A15" s="10" t="s">
        <v>76</v>
      </c>
      <c r="B15" s="16">
        <v>4</v>
      </c>
      <c r="C15" s="16"/>
      <c r="D15" s="2"/>
    </row>
    <row r="16" spans="1:10" x14ac:dyDescent="0.35">
      <c r="A16" s="10" t="s">
        <v>76</v>
      </c>
      <c r="B16" s="16">
        <v>6</v>
      </c>
      <c r="C16" s="16"/>
      <c r="D16" s="2"/>
    </row>
    <row r="17" spans="1:4" x14ac:dyDescent="0.35">
      <c r="A17" s="10" t="s">
        <v>87</v>
      </c>
      <c r="B17" s="16" t="s">
        <v>88</v>
      </c>
      <c r="C17" s="16">
        <v>76</v>
      </c>
      <c r="D17" s="2"/>
    </row>
  </sheetData>
  <mergeCells count="2">
    <mergeCell ref="A1:J1"/>
    <mergeCell ref="A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BB5D-B81A-407E-BCE6-77FC181E9482}">
  <sheetPr>
    <tabColor theme="9"/>
  </sheetPr>
  <dimension ref="A1:J5"/>
  <sheetViews>
    <sheetView workbookViewId="0">
      <selection activeCell="K15" sqref="K15"/>
    </sheetView>
  </sheetViews>
  <sheetFormatPr defaultRowHeight="14.5" x14ac:dyDescent="0.35"/>
  <cols>
    <col min="1" max="1" width="4.6328125" style="1" bestFit="1" customWidth="1"/>
    <col min="2" max="2" width="6.90625" style="1" bestFit="1" customWidth="1"/>
    <col min="3" max="3" width="14.453125" style="1" bestFit="1" customWidth="1"/>
    <col min="4" max="4" width="16.54296875" style="1" bestFit="1" customWidth="1"/>
    <col min="5" max="5" width="9.7265625" style="1" bestFit="1" customWidth="1"/>
    <col min="6" max="6" width="4.81640625" style="1" bestFit="1" customWidth="1"/>
    <col min="7" max="7" width="14.36328125" style="1" bestFit="1" customWidth="1"/>
    <col min="8" max="8" width="9.1796875" style="1" bestFit="1" customWidth="1"/>
    <col min="9" max="9" width="6.26953125" style="1" bestFit="1" customWidth="1"/>
    <col min="10" max="10" width="9.36328125" style="1" bestFit="1" customWidth="1"/>
    <col min="11" max="16384" width="8.7265625" style="1"/>
  </cols>
  <sheetData>
    <row r="1" spans="1:10" x14ac:dyDescent="0.3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5">
      <c r="A2" s="6" t="s">
        <v>1</v>
      </c>
      <c r="B2" s="6" t="s">
        <v>3</v>
      </c>
      <c r="C2" s="6" t="s">
        <v>4</v>
      </c>
      <c r="D2" s="6" t="s">
        <v>2</v>
      </c>
      <c r="E2" s="6" t="s">
        <v>5</v>
      </c>
      <c r="F2" s="6" t="s">
        <v>6</v>
      </c>
      <c r="G2" s="6" t="s">
        <v>7</v>
      </c>
      <c r="H2" s="6" t="s">
        <v>15</v>
      </c>
      <c r="I2" s="6" t="s">
        <v>8</v>
      </c>
      <c r="J2" s="6" t="s">
        <v>13</v>
      </c>
    </row>
    <row r="3" spans="1:10" x14ac:dyDescent="0.35">
      <c r="A3" s="2">
        <v>1</v>
      </c>
      <c r="B3" s="2" t="s">
        <v>99</v>
      </c>
      <c r="C3" s="2" t="s">
        <v>177</v>
      </c>
      <c r="D3" s="2" t="s">
        <v>178</v>
      </c>
      <c r="E3" s="2" t="s">
        <v>12</v>
      </c>
      <c r="F3" s="2">
        <v>2033</v>
      </c>
      <c r="G3" s="3" t="s">
        <v>16</v>
      </c>
      <c r="H3" s="2">
        <v>0.70799999999999996</v>
      </c>
      <c r="I3" s="17">
        <v>1</v>
      </c>
      <c r="J3" s="2" t="s">
        <v>14</v>
      </c>
    </row>
    <row r="5" spans="1:10" x14ac:dyDescent="0.35">
      <c r="C5" s="1" t="s">
        <v>179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2715-4814-496D-BA84-E8F318E87FD6}">
  <dimension ref="A1:L29"/>
  <sheetViews>
    <sheetView tabSelected="1" workbookViewId="0">
      <selection activeCell="E22" sqref="E22"/>
    </sheetView>
  </sheetViews>
  <sheetFormatPr defaultRowHeight="14.5" x14ac:dyDescent="0.35"/>
  <cols>
    <col min="1" max="1" width="14.54296875" style="1" bestFit="1" customWidth="1"/>
    <col min="2" max="2" width="8.7265625" style="1"/>
    <col min="3" max="3" width="44.1796875" style="1" customWidth="1"/>
    <col min="4" max="4" width="32.36328125" style="1" customWidth="1"/>
    <col min="5" max="6" width="8.7265625" style="1"/>
    <col min="7" max="7" width="14.36328125" style="1" bestFit="1" customWidth="1"/>
    <col min="8" max="8" width="8.7265625" style="1"/>
    <col min="9" max="9" width="11.81640625" style="1" bestFit="1" customWidth="1"/>
    <col min="10" max="10" width="9.36328125" style="1" bestFit="1" customWidth="1"/>
    <col min="11" max="16384" width="8.7265625" style="1"/>
  </cols>
  <sheetData>
    <row r="1" spans="1:10" x14ac:dyDescent="0.35">
      <c r="A1" s="3" t="s">
        <v>101</v>
      </c>
      <c r="B1" s="1" t="s">
        <v>109</v>
      </c>
      <c r="C1" s="2" t="s">
        <v>108</v>
      </c>
    </row>
    <row r="2" spans="1:10" x14ac:dyDescent="0.35">
      <c r="A2" s="2" t="s">
        <v>102</v>
      </c>
      <c r="B2" s="2">
        <v>10000</v>
      </c>
      <c r="C2" s="2">
        <f>1.8/B2</f>
        <v>1.8000000000000001E-4</v>
      </c>
    </row>
    <row r="3" spans="1:10" x14ac:dyDescent="0.35">
      <c r="A3" s="2" t="s">
        <v>103</v>
      </c>
      <c r="B3" s="2">
        <v>1800</v>
      </c>
      <c r="C3" s="2">
        <f>1.8/B3</f>
        <v>1E-3</v>
      </c>
    </row>
    <row r="4" spans="1:10" x14ac:dyDescent="0.35">
      <c r="A4" s="2" t="s">
        <v>104</v>
      </c>
      <c r="B4" s="2">
        <v>1800</v>
      </c>
      <c r="C4" s="2">
        <f>1.8/B4</f>
        <v>1E-3</v>
      </c>
    </row>
    <row r="5" spans="1:10" x14ac:dyDescent="0.35">
      <c r="A5" s="2" t="s">
        <v>107</v>
      </c>
      <c r="B5" s="2">
        <v>10000</v>
      </c>
      <c r="C5" s="2">
        <f>1.8/B5</f>
        <v>1.8000000000000001E-4</v>
      </c>
    </row>
    <row r="6" spans="1:10" x14ac:dyDescent="0.35">
      <c r="A6" s="2" t="s">
        <v>105</v>
      </c>
      <c r="B6" s="2"/>
      <c r="C6" s="2">
        <v>7.9999999999999996E-6</v>
      </c>
    </row>
    <row r="7" spans="1:10" x14ac:dyDescent="0.35">
      <c r="A7" s="2" t="s">
        <v>106</v>
      </c>
      <c r="B7" s="2"/>
      <c r="C7" s="2">
        <f>100*10^-3</f>
        <v>0.1</v>
      </c>
    </row>
    <row r="8" spans="1:10" ht="29" x14ac:dyDescent="0.35">
      <c r="A8" s="34" t="s">
        <v>110</v>
      </c>
      <c r="B8" s="35"/>
      <c r="C8" s="19">
        <f>SUM(C2:C7)</f>
        <v>0.102368</v>
      </c>
      <c r="D8" s="20" t="s">
        <v>111</v>
      </c>
    </row>
    <row r="12" spans="1:10" x14ac:dyDescent="0.35">
      <c r="A12" s="1" t="s">
        <v>112</v>
      </c>
    </row>
    <row r="13" spans="1:10" x14ac:dyDescent="0.35">
      <c r="A13" s="32" t="s">
        <v>0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 x14ac:dyDescent="0.35">
      <c r="A14" s="6" t="s">
        <v>1</v>
      </c>
      <c r="B14" s="6" t="s">
        <v>3</v>
      </c>
      <c r="C14" s="6" t="s">
        <v>4</v>
      </c>
      <c r="D14" s="6" t="s">
        <v>2</v>
      </c>
      <c r="E14" s="6" t="s">
        <v>5</v>
      </c>
      <c r="F14" s="6" t="s">
        <v>6</v>
      </c>
      <c r="G14" s="6" t="s">
        <v>7</v>
      </c>
      <c r="H14" s="6" t="s">
        <v>15</v>
      </c>
      <c r="I14" s="6" t="s">
        <v>8</v>
      </c>
      <c r="J14" s="6" t="s">
        <v>13</v>
      </c>
    </row>
    <row r="15" spans="1:10" x14ac:dyDescent="0.35">
      <c r="A15" s="2">
        <v>1</v>
      </c>
      <c r="B15" s="2" t="s">
        <v>174</v>
      </c>
      <c r="C15" s="2" t="s">
        <v>114</v>
      </c>
      <c r="D15" s="2" t="s">
        <v>115</v>
      </c>
      <c r="E15" s="2" t="s">
        <v>12</v>
      </c>
      <c r="F15" s="2">
        <v>2030</v>
      </c>
      <c r="G15" s="3" t="s">
        <v>98</v>
      </c>
      <c r="H15" s="2">
        <v>0.77800000000000002</v>
      </c>
      <c r="I15" s="17">
        <v>42440</v>
      </c>
      <c r="J15" s="2" t="s">
        <v>14</v>
      </c>
    </row>
    <row r="17" spans="1:12" x14ac:dyDescent="0.35">
      <c r="A17" s="40" t="s">
        <v>137</v>
      </c>
      <c r="B17" s="40" t="s">
        <v>138</v>
      </c>
      <c r="C17" s="40" t="s">
        <v>113</v>
      </c>
      <c r="D17" s="40" t="s">
        <v>175</v>
      </c>
    </row>
    <row r="18" spans="1:12" ht="29" x14ac:dyDescent="0.35">
      <c r="A18" s="36">
        <v>1</v>
      </c>
      <c r="B18" s="2" t="s">
        <v>139</v>
      </c>
      <c r="C18" s="37" t="s">
        <v>151</v>
      </c>
      <c r="D18" s="37" t="s">
        <v>151</v>
      </c>
    </row>
    <row r="19" spans="1:12" ht="43.5" x14ac:dyDescent="0.35">
      <c r="A19" s="4">
        <v>2</v>
      </c>
      <c r="B19" s="38" t="s">
        <v>140</v>
      </c>
      <c r="C19" s="39" t="s">
        <v>152</v>
      </c>
      <c r="D19" s="39" t="s">
        <v>176</v>
      </c>
    </row>
    <row r="20" spans="1:12" ht="43.5" x14ac:dyDescent="0.35">
      <c r="A20" s="4">
        <v>3</v>
      </c>
      <c r="B20" s="38" t="s">
        <v>141</v>
      </c>
      <c r="C20" s="39" t="s">
        <v>153</v>
      </c>
      <c r="D20" s="39" t="s">
        <v>153</v>
      </c>
    </row>
    <row r="21" spans="1:12" x14ac:dyDescent="0.35">
      <c r="A21" s="36">
        <v>4</v>
      </c>
      <c r="B21" s="2" t="s">
        <v>142</v>
      </c>
      <c r="C21" s="37" t="s">
        <v>45</v>
      </c>
      <c r="D21" s="37" t="s">
        <v>45</v>
      </c>
      <c r="L21" s="1" t="s">
        <v>158</v>
      </c>
    </row>
    <row r="22" spans="1:12" x14ac:dyDescent="0.35">
      <c r="A22" s="36">
        <v>5</v>
      </c>
      <c r="B22" s="2" t="s">
        <v>143</v>
      </c>
      <c r="C22" s="37" t="s">
        <v>180</v>
      </c>
      <c r="D22" s="37" t="s">
        <v>180</v>
      </c>
    </row>
    <row r="23" spans="1:12" x14ac:dyDescent="0.35">
      <c r="A23" s="36">
        <v>6</v>
      </c>
      <c r="B23" s="2" t="s">
        <v>144</v>
      </c>
      <c r="C23" s="37" t="s">
        <v>173</v>
      </c>
      <c r="D23" s="37" t="s">
        <v>173</v>
      </c>
    </row>
    <row r="24" spans="1:12" ht="29" x14ac:dyDescent="0.35">
      <c r="A24" s="36" t="s">
        <v>134</v>
      </c>
      <c r="B24" s="2" t="s">
        <v>145</v>
      </c>
      <c r="C24" s="37" t="s">
        <v>154</v>
      </c>
      <c r="D24" s="37" t="s">
        <v>154</v>
      </c>
    </row>
    <row r="25" spans="1:12" x14ac:dyDescent="0.35">
      <c r="A25" s="36" t="s">
        <v>135</v>
      </c>
      <c r="B25" s="2" t="s">
        <v>146</v>
      </c>
      <c r="C25" s="37" t="s">
        <v>45</v>
      </c>
      <c r="D25" s="37" t="s">
        <v>45</v>
      </c>
    </row>
    <row r="26" spans="1:12" x14ac:dyDescent="0.35">
      <c r="A26" s="36" t="s">
        <v>136</v>
      </c>
      <c r="B26" s="2" t="s">
        <v>147</v>
      </c>
      <c r="C26" s="37" t="s">
        <v>173</v>
      </c>
      <c r="D26" s="37" t="s">
        <v>173</v>
      </c>
    </row>
    <row r="27" spans="1:12" ht="29" x14ac:dyDescent="0.35">
      <c r="A27" s="36">
        <v>20</v>
      </c>
      <c r="B27" s="2" t="s">
        <v>148</v>
      </c>
      <c r="C27" s="37" t="s">
        <v>156</v>
      </c>
      <c r="D27" s="37" t="s">
        <v>156</v>
      </c>
    </row>
    <row r="28" spans="1:12" ht="29" x14ac:dyDescent="0.35">
      <c r="A28" s="4">
        <v>21</v>
      </c>
      <c r="B28" s="38" t="s">
        <v>149</v>
      </c>
      <c r="C28" s="39" t="s">
        <v>155</v>
      </c>
      <c r="D28" s="39" t="s">
        <v>155</v>
      </c>
    </row>
    <row r="29" spans="1:12" ht="29" x14ac:dyDescent="0.35">
      <c r="A29" s="36">
        <v>22</v>
      </c>
      <c r="B29" s="2" t="s">
        <v>150</v>
      </c>
      <c r="C29" s="37" t="s">
        <v>157</v>
      </c>
      <c r="D29" s="37" t="s">
        <v>157</v>
      </c>
    </row>
  </sheetData>
  <mergeCells count="2">
    <mergeCell ref="A8:B8"/>
    <mergeCell ref="A13:J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C96D-ADDD-4695-8B00-611C51C29E86}">
  <dimension ref="A1:D15"/>
  <sheetViews>
    <sheetView workbookViewId="0"/>
  </sheetViews>
  <sheetFormatPr defaultRowHeight="14.5" x14ac:dyDescent="0.35"/>
  <cols>
    <col min="1" max="1" width="11.453125" style="1" bestFit="1" customWidth="1"/>
    <col min="2" max="16384" width="8.7265625" style="1"/>
  </cols>
  <sheetData>
    <row r="1" spans="1:4" x14ac:dyDescent="0.35">
      <c r="A1" s="2"/>
      <c r="B1" s="2" t="s">
        <v>109</v>
      </c>
      <c r="C1" s="2" t="s">
        <v>160</v>
      </c>
      <c r="D1" s="2" t="s">
        <v>161</v>
      </c>
    </row>
    <row r="2" spans="1:4" x14ac:dyDescent="0.35">
      <c r="A2" s="2" t="s">
        <v>159</v>
      </c>
      <c r="B2" s="2"/>
      <c r="C2" s="2">
        <v>2</v>
      </c>
      <c r="D2" s="2"/>
    </row>
    <row r="3" spans="1:4" x14ac:dyDescent="0.35">
      <c r="A3" s="2" t="s">
        <v>162</v>
      </c>
      <c r="B3" s="2">
        <v>1800</v>
      </c>
      <c r="C3" s="2">
        <f>5/B3</f>
        <v>2.7777777777777779E-3</v>
      </c>
      <c r="D3" s="2"/>
    </row>
    <row r="4" spans="1:4" x14ac:dyDescent="0.35">
      <c r="A4" s="2" t="s">
        <v>163</v>
      </c>
      <c r="B4" s="2">
        <v>10000</v>
      </c>
      <c r="C4" s="2">
        <f>5/B4</f>
        <v>5.0000000000000001E-4</v>
      </c>
      <c r="D4" s="2"/>
    </row>
    <row r="5" spans="1:4" x14ac:dyDescent="0.35">
      <c r="A5" s="2" t="s">
        <v>164</v>
      </c>
      <c r="B5" s="2">
        <v>10000</v>
      </c>
      <c r="C5" s="2"/>
      <c r="D5" s="2">
        <f>5/B5</f>
        <v>5.0000000000000001E-4</v>
      </c>
    </row>
    <row r="6" spans="1:4" x14ac:dyDescent="0.35">
      <c r="A6" s="2" t="s">
        <v>165</v>
      </c>
      <c r="B6" s="2"/>
      <c r="C6" s="2">
        <f>150*10^-6</f>
        <v>1.4999999999999999E-4</v>
      </c>
      <c r="D6" s="2"/>
    </row>
    <row r="7" spans="1:4" x14ac:dyDescent="0.35">
      <c r="A7" s="2" t="s">
        <v>166</v>
      </c>
      <c r="B7" s="2"/>
      <c r="C7" s="2">
        <f>150*10^-6</f>
        <v>1.4999999999999999E-4</v>
      </c>
      <c r="D7" s="2"/>
    </row>
    <row r="8" spans="1:4" x14ac:dyDescent="0.35">
      <c r="A8" s="2" t="s">
        <v>167</v>
      </c>
      <c r="B8" s="2">
        <v>100000</v>
      </c>
      <c r="C8" s="2"/>
      <c r="D8" s="2">
        <f>5/B8</f>
        <v>5.0000000000000002E-5</v>
      </c>
    </row>
    <row r="9" spans="1:4" x14ac:dyDescent="0.35">
      <c r="A9" s="2" t="s">
        <v>168</v>
      </c>
      <c r="B9" s="2"/>
      <c r="C9" s="2">
        <v>6.0000000000000002E-5</v>
      </c>
      <c r="D9" s="2"/>
    </row>
    <row r="10" spans="1:4" x14ac:dyDescent="0.35">
      <c r="A10" s="2" t="s">
        <v>164</v>
      </c>
      <c r="B10" s="2">
        <v>10000</v>
      </c>
      <c r="C10" s="2"/>
      <c r="D10" s="2">
        <f>5/B10</f>
        <v>5.0000000000000001E-4</v>
      </c>
    </row>
    <row r="11" spans="1:4" x14ac:dyDescent="0.35">
      <c r="A11" s="2" t="s">
        <v>169</v>
      </c>
      <c r="B11" s="2">
        <v>10000</v>
      </c>
      <c r="C11" s="2"/>
      <c r="D11" s="2">
        <f>5/B11</f>
        <v>5.0000000000000001E-4</v>
      </c>
    </row>
    <row r="12" spans="1:4" x14ac:dyDescent="0.35">
      <c r="A12" s="2" t="s">
        <v>170</v>
      </c>
      <c r="B12" s="2">
        <v>1800</v>
      </c>
      <c r="C12" s="2">
        <f>5/B12</f>
        <v>2.7777777777777779E-3</v>
      </c>
      <c r="D12" s="2"/>
    </row>
    <row r="13" spans="1:4" x14ac:dyDescent="0.35">
      <c r="A13" s="2" t="s">
        <v>171</v>
      </c>
      <c r="B13" s="2">
        <v>4700</v>
      </c>
      <c r="C13" s="2">
        <f>5/B13</f>
        <v>1.0638297872340426E-3</v>
      </c>
      <c r="D13" s="2"/>
    </row>
    <row r="14" spans="1:4" x14ac:dyDescent="0.35">
      <c r="A14" s="2" t="s">
        <v>172</v>
      </c>
      <c r="B14" s="2"/>
      <c r="C14" s="2">
        <v>9.2999999999999999E-2</v>
      </c>
      <c r="D14" s="2"/>
    </row>
    <row r="15" spans="1:4" x14ac:dyDescent="0.35">
      <c r="A15" s="2"/>
      <c r="B15" s="2"/>
      <c r="C15" s="2">
        <f>SUM(C2:C14)</f>
        <v>2.1004793853427897</v>
      </c>
      <c r="D15" s="2">
        <f>SUM(D2:D14)</f>
        <v>1.5500000000000002E-3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2AE1-1AE0-4760-951D-357BC959DD15}">
  <sheetPr>
    <tabColor theme="9"/>
  </sheetPr>
  <dimension ref="A1:I10"/>
  <sheetViews>
    <sheetView workbookViewId="0">
      <selection activeCell="A15" sqref="A15"/>
    </sheetView>
  </sheetViews>
  <sheetFormatPr defaultRowHeight="14.5" x14ac:dyDescent="0.35"/>
  <cols>
    <col min="1" max="1" width="23.1796875" style="1" bestFit="1" customWidth="1"/>
    <col min="2" max="2" width="11.08984375" style="1" bestFit="1" customWidth="1"/>
    <col min="3" max="3" width="16.36328125" style="1" bestFit="1" customWidth="1"/>
    <col min="4" max="4" width="23.7265625" style="1" bestFit="1" customWidth="1"/>
    <col min="5" max="5" width="20" style="1" bestFit="1" customWidth="1"/>
    <col min="6" max="6" width="20" style="1" customWidth="1"/>
    <col min="7" max="7" width="20" style="1" bestFit="1" customWidth="1"/>
    <col min="8" max="16384" width="8.7265625" style="1"/>
  </cols>
  <sheetData>
    <row r="1" spans="1:9" x14ac:dyDescent="0.35">
      <c r="A1" s="21" t="s">
        <v>121</v>
      </c>
      <c r="H1" s="1" t="s">
        <v>123</v>
      </c>
      <c r="I1" s="1" t="s">
        <v>124</v>
      </c>
    </row>
    <row r="2" spans="1:9" x14ac:dyDescent="0.35">
      <c r="A2" s="22" t="s">
        <v>126</v>
      </c>
      <c r="B2" s="23" t="s">
        <v>116</v>
      </c>
      <c r="I2" s="24" t="s">
        <v>125</v>
      </c>
    </row>
    <row r="3" spans="1:9" x14ac:dyDescent="0.35">
      <c r="B3" s="1" t="s">
        <v>127</v>
      </c>
      <c r="C3" s="25" t="s">
        <v>117</v>
      </c>
    </row>
    <row r="4" spans="1:9" x14ac:dyDescent="0.35">
      <c r="C4" s="1" t="s">
        <v>128</v>
      </c>
      <c r="D4" s="26" t="s">
        <v>118</v>
      </c>
    </row>
    <row r="5" spans="1:9" x14ac:dyDescent="0.35">
      <c r="D5" s="1" t="s">
        <v>129</v>
      </c>
      <c r="E5" s="27" t="s">
        <v>119</v>
      </c>
      <c r="F5" s="18"/>
    </row>
    <row r="6" spans="1:9" x14ac:dyDescent="0.35">
      <c r="E6" s="1" t="s">
        <v>130</v>
      </c>
      <c r="F6" s="28" t="s">
        <v>122</v>
      </c>
    </row>
    <row r="7" spans="1:9" x14ac:dyDescent="0.35">
      <c r="F7" s="1" t="s">
        <v>131</v>
      </c>
    </row>
    <row r="8" spans="1:9" x14ac:dyDescent="0.35">
      <c r="F8" s="29" t="s">
        <v>120</v>
      </c>
      <c r="G8" s="30" t="s">
        <v>41</v>
      </c>
    </row>
    <row r="9" spans="1:9" x14ac:dyDescent="0.35">
      <c r="F9" s="1" t="s">
        <v>132</v>
      </c>
      <c r="G9" s="31" t="s">
        <v>52</v>
      </c>
    </row>
    <row r="10" spans="1:9" x14ac:dyDescent="0.35">
      <c r="G10" s="1" t="s">
        <v>133</v>
      </c>
    </row>
  </sheetData>
  <hyperlinks>
    <hyperlink ref="I2" r:id="rId1" xr:uid="{2BD757F9-3D46-4C24-8B46-84750EC583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acbf9-30b3-4309-a0c2-56c11d61872e" xsi:nil="true"/>
    <lcf76f155ced4ddcb4097134ff3c332f xmlns="1febf784-139c-40a5-bdc7-82874e201a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466BCBA2AAF42A3510BFCF0903424" ma:contentTypeVersion="12" ma:contentTypeDescription="Create a new document." ma:contentTypeScope="" ma:versionID="ef16b4319f6a1446148c6c893f4a1a16">
  <xsd:schema xmlns:xsd="http://www.w3.org/2001/XMLSchema" xmlns:xs="http://www.w3.org/2001/XMLSchema" xmlns:p="http://schemas.microsoft.com/office/2006/metadata/properties" xmlns:ns2="1febf784-139c-40a5-bdc7-82874e201ae4" xmlns:ns3="b71acbf9-30b3-4309-a0c2-56c11d61872e" targetNamespace="http://schemas.microsoft.com/office/2006/metadata/properties" ma:root="true" ma:fieldsID="ece8502453d6e87d01417c163ab09657" ns2:_="" ns3:_="">
    <xsd:import namespace="1febf784-139c-40a5-bdc7-82874e201ae4"/>
    <xsd:import namespace="b71acbf9-30b3-4309-a0c2-56c11d6187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bf784-139c-40a5-bdc7-82874e201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4df692a-cb56-4b31-ba11-798a39458b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acbf9-30b3-4309-a0c2-56c11d61872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723ad3f-1f39-41ba-8eb0-05a49eaece29}" ma:internalName="TaxCatchAll" ma:showField="CatchAllData" ma:web="b71acbf9-30b3-4309-a0c2-56c11d6187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9E96B-2033-482E-A0AE-71E336A96780}">
  <ds:schemaRefs>
    <ds:schemaRef ds:uri="http://schemas.microsoft.com/office/2006/documentManagement/types"/>
    <ds:schemaRef ds:uri="http://purl.org/dc/terms/"/>
    <ds:schemaRef ds:uri="http://purl.org/dc/dcmitype/"/>
    <ds:schemaRef ds:uri="b71acbf9-30b3-4309-a0c2-56c11d61872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1febf784-139c-40a5-bdc7-82874e201ae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87D9D90-4921-40F0-B365-84CDF0933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ebf784-139c-40a5-bdc7-82874e201ae4"/>
    <ds:schemaRef ds:uri="b71acbf9-30b3-4309-a0c2-56c11d6187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585B5D-F7F9-4FBC-B1A1-1738459F47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Ethernet</vt:lpstr>
      <vt:lpstr>CSI</vt:lpstr>
      <vt:lpstr>SD Card</vt:lpstr>
      <vt:lpstr>RS485</vt:lpstr>
      <vt:lpstr>Power</vt:lpstr>
      <vt:lpstr>Rails</vt:lpstr>
      <vt:lpstr>Power 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Thirumalaikumar, Preethi</dc:creator>
  <cp:lastModifiedBy>Thirumalaikumar, Preethi</cp:lastModifiedBy>
  <dcterms:created xsi:type="dcterms:W3CDTF">2025-09-16T05:50:57Z</dcterms:created>
  <dcterms:modified xsi:type="dcterms:W3CDTF">2025-09-26T10:21:53Z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2025-09-16T05:51:32Z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0ec293bd-3f0b-4b0f-a0cd-484a11506129</vt:lpwstr>
  </property>
  <property fmtid="{D5CDD505-2E9C-101B-9397-08002B2CF9AE}" pid="8" name="MSIP_Label_ff418558-72e5-4d8e-958f-cfe0e73e210d_ContentBits">
    <vt:lpwstr>0</vt:lpwstr>
  </property>
  <property fmtid="{D5CDD505-2E9C-101B-9397-08002B2CF9AE}" pid="9" name="ContentTypeId">
    <vt:lpwstr>0x0101000B9466BCBA2AAF42A3510BFCF0903424</vt:lpwstr>
  </property>
  <property fmtid="{D5CDD505-2E9C-101B-9397-08002B2CF9AE}" pid="10" name="MediaServiceImageTags">
    <vt:lpwstr/>
  </property>
</Properties>
</file>